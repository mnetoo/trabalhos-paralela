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u\Documents\Github\trabalhos-paralela\trab1\"/>
    </mc:Choice>
  </mc:AlternateContent>
  <xr:revisionPtr revIDLastSave="0" documentId="13_ncr:1_{FBA55749-B112-4255-8468-3C6FC5D14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 A (Com Chunks L2)" sheetId="1" r:id="rId1"/>
    <sheet name="Exp B (Sem Chunks)" sheetId="2" r:id="rId2"/>
    <sheet name="Comparativo A vs B" sheetId="3" r:id="rId3"/>
    <sheet name="Hardware e SLUR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H18" i="2"/>
  <c r="G18" i="2"/>
  <c r="F18" i="2"/>
  <c r="E18" i="2"/>
  <c r="D18" i="2"/>
  <c r="C18" i="2"/>
  <c r="B18" i="2"/>
  <c r="I13" i="2"/>
  <c r="C12" i="3" s="1"/>
  <c r="H13" i="2"/>
  <c r="C11" i="3" s="1"/>
  <c r="G13" i="2"/>
  <c r="C10" i="3" s="1"/>
  <c r="F13" i="2"/>
  <c r="C9" i="3" s="1"/>
  <c r="E13" i="2"/>
  <c r="C8" i="3" s="1"/>
  <c r="D13" i="2"/>
  <c r="C7" i="3" s="1"/>
  <c r="C13" i="2"/>
  <c r="C6" i="3" s="1"/>
  <c r="B13" i="2"/>
  <c r="I19" i="1"/>
  <c r="H19" i="1"/>
  <c r="G19" i="1"/>
  <c r="F19" i="1"/>
  <c r="E19" i="1"/>
  <c r="D19" i="1"/>
  <c r="C19" i="1"/>
  <c r="B19" i="1"/>
  <c r="I14" i="1"/>
  <c r="B12" i="3" s="1"/>
  <c r="H14" i="1"/>
  <c r="B11" i="3" s="1"/>
  <c r="G14" i="1"/>
  <c r="B10" i="3" s="1"/>
  <c r="F14" i="1"/>
  <c r="B9" i="3" s="1"/>
  <c r="E14" i="1"/>
  <c r="B8" i="3" s="1"/>
  <c r="D14" i="1"/>
  <c r="B7" i="3" s="1"/>
  <c r="C14" i="1"/>
  <c r="B6" i="3" s="1"/>
  <c r="B14" i="1"/>
  <c r="E12" i="3" l="1"/>
  <c r="I19" i="2"/>
  <c r="H19" i="2"/>
  <c r="E11" i="3"/>
  <c r="E10" i="3"/>
  <c r="G19" i="2"/>
  <c r="E9" i="3"/>
  <c r="F19" i="2"/>
  <c r="E19" i="2"/>
  <c r="E8" i="3"/>
  <c r="D19" i="2"/>
  <c r="E7" i="3"/>
  <c r="E6" i="3"/>
  <c r="C19" i="2"/>
  <c r="E5" i="3"/>
  <c r="H5" i="3" s="1"/>
  <c r="B19" i="2"/>
  <c r="D14" i="2"/>
  <c r="B14" i="2"/>
  <c r="C5" i="3"/>
  <c r="E14" i="2"/>
  <c r="G14" i="2"/>
  <c r="I14" i="2"/>
  <c r="H14" i="2"/>
  <c r="F14" i="2"/>
  <c r="C14" i="2"/>
  <c r="D12" i="3"/>
  <c r="I20" i="1"/>
  <c r="D11" i="3"/>
  <c r="H20" i="1"/>
  <c r="D10" i="3"/>
  <c r="G20" i="1"/>
  <c r="D9" i="3"/>
  <c r="F20" i="1"/>
  <c r="D8" i="3"/>
  <c r="E20" i="1"/>
  <c r="D7" i="3"/>
  <c r="D20" i="1"/>
  <c r="C20" i="1"/>
  <c r="D6" i="3"/>
  <c r="D5" i="3"/>
  <c r="B20" i="1"/>
  <c r="B5" i="3"/>
  <c r="I15" i="1"/>
  <c r="H15" i="1"/>
  <c r="G15" i="1"/>
  <c r="F15" i="1"/>
  <c r="E15" i="1"/>
  <c r="D15" i="1"/>
  <c r="C15" i="1"/>
  <c r="B15" i="1"/>
  <c r="H7" i="3" l="1"/>
  <c r="F12" i="3"/>
  <c r="G12" i="3"/>
  <c r="F11" i="3"/>
  <c r="G11" i="3"/>
  <c r="F10" i="3"/>
  <c r="G10" i="3"/>
  <c r="F9" i="3"/>
  <c r="G9" i="3"/>
  <c r="F8" i="3"/>
  <c r="G8" i="3"/>
  <c r="F7" i="3"/>
  <c r="G7" i="3"/>
  <c r="F6" i="3"/>
  <c r="G6" i="3"/>
  <c r="F5" i="3"/>
  <c r="G5" i="3"/>
  <c r="H8" i="3"/>
  <c r="H11" i="3"/>
  <c r="H9" i="3"/>
  <c r="H6" i="3"/>
  <c r="H10" i="3"/>
  <c r="H12" i="3"/>
</calcChain>
</file>

<file path=xl/sharedStrings.xml><?xml version="1.0" encoding="utf-8"?>
<sst xmlns="http://schemas.openxmlformats.org/spreadsheetml/2006/main" count="104" uniqueCount="66">
  <si>
    <t>ParallelPrefixSum rodando no wz10 - Com Chunks (1/4 L2 = 196608 elementos)</t>
  </si>
  <si>
    <t>Executando 6 vezes com 8000000 elementos long long (8 bytes)</t>
  </si>
  <si>
    <t>total elements:</t>
  </si>
  <si>
    <t>chunkSize:</t>
  </si>
  <si>
    <t>1 threads:</t>
  </si>
  <si>
    <t>2 threads:</t>
  </si>
  <si>
    <t>3 threads:</t>
  </si>
  <si>
    <t>4 threads:</t>
  </si>
  <si>
    <t>5 threads:</t>
  </si>
  <si>
    <t>6 threads:</t>
  </si>
  <si>
    <t>7 threads:</t>
  </si>
  <si>
    <t>8 threads:</t>
  </si>
  <si>
    <t>Tempo médio</t>
  </si>
  <si>
    <t>threads</t>
  </si>
  <si>
    <t>tempo médio (ms)</t>
  </si>
  <si>
    <t>Aceleração</t>
  </si>
  <si>
    <t>VAZAO MEDIA:</t>
  </si>
  <si>
    <t>vazao média (MOPS)</t>
  </si>
  <si>
    <t>OBS: Como nesse caso uma OP é a soma de prefixos de um elemento, a vazão é expressa em MOPS (Milhões de Operações por Segundo)</t>
  </si>
  <si>
    <t>Vazão por Execução (MOPS):</t>
  </si>
  <si>
    <t>ParallelPrefixSum rodando no wz10 - SEM Chunks (particionamento direto)</t>
  </si>
  <si>
    <t>Executando 5 vezes com 8000000 elementos long long (8 bytes)</t>
  </si>
  <si>
    <t>Comparativo de Desempenho: Exp A (Com Chunks L2) vs Exp B (Sem Chunks)</t>
  </si>
  <si>
    <t>Ambiente de teste: Cluster host wz10 (8 CPUs alocadas pelo SLURM, 8.000.000 elementos long long)</t>
  </si>
  <si>
    <t>Threads</t>
  </si>
  <si>
    <t>Tempo Exp A (ms)</t>
  </si>
  <si>
    <t>Tempo Exp B (ms)</t>
  </si>
  <si>
    <t>Vazão Exp A (MOPS)</t>
  </si>
  <si>
    <t>Vazão Exp B (MOPS)</t>
  </si>
  <si>
    <t>Ganho Chunks L2 (%)</t>
  </si>
  <si>
    <t>Speedup Exp A</t>
  </si>
  <si>
    <t>Speedup Exp B</t>
  </si>
  <si>
    <t>Speedup Linear Ideal</t>
  </si>
  <si>
    <t>Informações do Ambiente de Execução (Cluster SLURM)</t>
  </si>
  <si>
    <t>Nó do Cluster (Hostname):</t>
  </si>
  <si>
    <t>wz10</t>
  </si>
  <si>
    <t>Partição SLURM:</t>
  </si>
  <si>
    <t>debug</t>
  </si>
  <si>
    <t>CPUs alocadas por nó:</t>
  </si>
  <si>
    <t>8</t>
  </si>
  <si>
    <t>Job ID Exp A (Com Chunks):</t>
  </si>
  <si>
    <t>18977 (t1-expA)</t>
  </si>
  <si>
    <t>Job ID Exp B (Sem Chunks):</t>
  </si>
  <si>
    <t>18980 (t1-expB)</t>
  </si>
  <si>
    <t>Tipo de Dado:</t>
  </si>
  <si>
    <t>long long (8 bytes)</t>
  </si>
  <si>
    <t>Tamanho do Vetor (N):</t>
  </si>
  <si>
    <t>8.000.000 elementos (~61 MB)</t>
  </si>
  <si>
    <t>Tamanho da Cache L2:</t>
  </si>
  <si>
    <t>6.291.456 bytes (6 MB / 6144 KB)</t>
  </si>
  <si>
    <t>Tamanho da Cache L3:</t>
  </si>
  <si>
    <t>0 bytes (Não detectada / compartilhada)</t>
  </si>
  <si>
    <t>Chunk Size Exp A:</t>
  </si>
  <si>
    <t>196.608 elementos (1/4 da L2 = 1.572.864 bytes)</t>
  </si>
  <si>
    <t>Chunk Size Exp B:</t>
  </si>
  <si>
    <t>0 (Sem chunks - partição global direta)</t>
  </si>
  <si>
    <t>Repetições por thread (Exp A):</t>
  </si>
  <si>
    <t>6 execuções válidas</t>
  </si>
  <si>
    <t>Repetições por thread (Exp B):</t>
  </si>
  <si>
    <t>5 execuções válidas</t>
  </si>
  <si>
    <t>Script de Execução Exp A:</t>
  </si>
  <si>
    <t>roda-exp-A-chunk-196608-slurm.sh</t>
  </si>
  <si>
    <t>Script de Execução Exp B:</t>
  </si>
  <si>
    <t>roda-exp-B-chunk-0-slurm.sh</t>
  </si>
  <si>
    <t>Binário Utilizado:</t>
  </si>
  <si>
    <t>./prefixSumPth-v3-longlong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</si>
</sst>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&quot;%&quot;"/>
  </numFmts>
  <fonts count="7" x14ac:knownFonts="1">
    <font>
      <sz val="11"/>
      <color theme="1"/>
      <name val="Calibri"/>
      <family val="2"/>
      <scheme val="minor"/>
    </font>
    <font>
      <b/>
      <sz val="12"/>
      <color rgb="FF1F497D"/>
      <name val="Calibri"/>
    </font>
    <font>
      <sz val="10"/>
      <color rgb="FF333333"/>
      <name val="Calibri"/>
    </font>
    <font>
      <b/>
      <sz val="10"/>
      <color rgb="FF000000"/>
      <name val="Calibri"/>
    </font>
    <font>
      <i/>
      <sz val="9"/>
      <color rgb="FF555555"/>
      <name val="Calibri"/>
    </font>
    <font>
      <sz val="10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9EDF4"/>
        <bgColor rgb="FFE9EDF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0" fontId="3" fillId="4" borderId="1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5" fillId="0" borderId="2" xfId="0" applyFont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/>
    <xf numFmtId="0" fontId="5" fillId="0" borderId="2" xfId="0" applyFont="1" applyBorder="1"/>
    <xf numFmtId="0" fontId="6" fillId="3" borderId="3" xfId="0" applyFont="1" applyFill="1" applyBorder="1" applyAlignment="1">
      <alignment horizontal="center" vertical="center"/>
    </xf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Soma de prefixos paralela com Pthreads (long long)</a:t>
            </a:r>
          </a:p>
        </c:rich>
      </c:tx>
      <c:layout>
        <c:manualLayout>
          <c:xMode val="edge"/>
          <c:yMode val="edge"/>
          <c:x val="0.25589982638888886"/>
          <c:y val="8.0634920634920629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'Exp A (Com Chunks L2)'!$A$14</c:f>
              <c:strCache>
                <c:ptCount val="1"/>
                <c:pt idx="0">
                  <c:v>tempo médio (ms)</c:v>
                </c:pt>
              </c:strCache>
            </c:strRef>
          </c:tx>
          <c:spPr>
            <a:ln w="25000">
              <a:solidFill>
                <a:srgbClr val="004C87"/>
              </a:solidFill>
              <a:prstDash val="solid"/>
            </a:ln>
          </c:spPr>
          <c:marker>
            <c:symbol val="square"/>
            <c:size val="7"/>
            <c:spPr>
              <a:ln>
                <a:prstDash val="solid"/>
              </a:ln>
            </c:spPr>
          </c:marker>
          <c:cat>
            <c:numRef>
              <c:f>'Exp A (Com Chunks L2)'!$B$13:$I$13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'Exp A (Com Chunks L2)'!$B$14:$I$14</c:f>
              <c:numCache>
                <c:formatCode>0.00</c:formatCode>
                <c:ptCount val="8"/>
                <c:pt idx="0">
                  <c:v>32.265550499999996</c:v>
                </c:pt>
                <c:pt idx="1">
                  <c:v>19.230957</c:v>
                </c:pt>
                <c:pt idx="2">
                  <c:v>19.512823666666666</c:v>
                </c:pt>
                <c:pt idx="3">
                  <c:v>16.181044500000002</c:v>
                </c:pt>
                <c:pt idx="4">
                  <c:v>17.994513666666666</c:v>
                </c:pt>
                <c:pt idx="5">
                  <c:v>16.369933166666662</c:v>
                </c:pt>
                <c:pt idx="6">
                  <c:v>16.791210500000002</c:v>
                </c:pt>
                <c:pt idx="7">
                  <c:v>17.004770666666669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29-4917-AEC7-6D6CE72BB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'Exp A (Com Chunks L2)'!$A$15</c:f>
              <c:strCache>
                <c:ptCount val="1"/>
                <c:pt idx="0">
                  <c:v>Aceleração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val>
            <c:numRef>
              <c:f>'Exp A (Com Chunks L2)'!$B$15:$I$15</c:f>
              <c:numCache>
                <c:formatCode>0.00</c:formatCode>
                <c:ptCount val="8"/>
                <c:pt idx="0">
                  <c:v>1</c:v>
                </c:pt>
                <c:pt idx="1">
                  <c:v>1.6777922440365289</c:v>
                </c:pt>
                <c:pt idx="2">
                  <c:v>1.6535561972570141</c:v>
                </c:pt>
                <c:pt idx="3">
                  <c:v>1.994033852388206</c:v>
                </c:pt>
                <c:pt idx="4">
                  <c:v>1.7930771065943969</c:v>
                </c:pt>
                <c:pt idx="5">
                  <c:v>1.971025182051497</c:v>
                </c:pt>
                <c:pt idx="6">
                  <c:v>1.9215738198267476</c:v>
                </c:pt>
                <c:pt idx="7">
                  <c:v>1.8974410847685248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29-4917-AEC7-6D6CE72BB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n threads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Tempo médio (ms)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in val="0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Aceleração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5941597222222224"/>
          <c:y val="0.81218174603174598"/>
          <c:w val="0.23176458333333333"/>
          <c:h val="0.1215095238095238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Soma de prefixos paralela com Pthreads (long long)</a:t>
            </a:r>
          </a:p>
        </c:rich>
      </c:tx>
      <c:layout>
        <c:manualLayout>
          <c:xMode val="edge"/>
          <c:yMode val="edge"/>
          <c:x val="0.25810468749999999"/>
          <c:y val="7.391534391534392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'Exp A (Com Chunks L2)'!$A$19</c:f>
              <c:strCache>
                <c:ptCount val="1"/>
                <c:pt idx="0">
                  <c:v>vazao média (MOPS)</c:v>
                </c:pt>
              </c:strCache>
            </c:strRef>
          </c:tx>
          <c:spPr>
            <a:ln w="25000">
              <a:solidFill>
                <a:srgbClr val="004C87"/>
              </a:solidFill>
              <a:prstDash val="solid"/>
            </a:ln>
          </c:spPr>
          <c:marker>
            <c:symbol val="square"/>
            <c:size val="7"/>
            <c:spPr>
              <a:ln>
                <a:prstDash val="solid"/>
              </a:ln>
            </c:spPr>
          </c:marker>
          <c:cat>
            <c:numRef>
              <c:f>'Exp A (Com Chunks L2)'!$B$13:$I$13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'Exp A (Com Chunks L2)'!$B$19:$I$19</c:f>
              <c:numCache>
                <c:formatCode>0.00</c:formatCode>
                <c:ptCount val="8"/>
                <c:pt idx="0">
                  <c:v>247.942677</c:v>
                </c:pt>
                <c:pt idx="1">
                  <c:v>416.0100961666667</c:v>
                </c:pt>
                <c:pt idx="2">
                  <c:v>410.05221883333326</c:v>
                </c:pt>
                <c:pt idx="3">
                  <c:v>494.47620449999999</c:v>
                </c:pt>
                <c:pt idx="4">
                  <c:v>444.72911683333336</c:v>
                </c:pt>
                <c:pt idx="5">
                  <c:v>489.04217233333338</c:v>
                </c:pt>
                <c:pt idx="6">
                  <c:v>476.56404049999998</c:v>
                </c:pt>
                <c:pt idx="7">
                  <c:v>474.39235549999995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D0-4DBF-8153-1F50A5B4B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'Exp A (Com Chunks L2)'!$A$20</c:f>
              <c:strCache>
                <c:ptCount val="1"/>
                <c:pt idx="0">
                  <c:v>Aceleração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val>
            <c:numRef>
              <c:f>'Exp A (Com Chunks L2)'!$B$20:$I$20</c:f>
              <c:numCache>
                <c:formatCode>0.00</c:formatCode>
                <c:ptCount val="8"/>
                <c:pt idx="0">
                  <c:v>1</c:v>
                </c:pt>
                <c:pt idx="1">
                  <c:v>1.677847884842619</c:v>
                </c:pt>
                <c:pt idx="2">
                  <c:v>1.6538186317692023</c:v>
                </c:pt>
                <c:pt idx="3">
                  <c:v>1.9943166319043977</c:v>
                </c:pt>
                <c:pt idx="4">
                  <c:v>1.7936771604403277</c:v>
                </c:pt>
                <c:pt idx="5">
                  <c:v>1.9724001460762375</c:v>
                </c:pt>
                <c:pt idx="6">
                  <c:v>1.922073465795483</c:v>
                </c:pt>
                <c:pt idx="7">
                  <c:v>1.9133146469173596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D0-4DBF-8153-1F50A5B4B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3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n threads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vazao média (MOPS)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300"/>
        <c:scaling>
          <c:orientation val="minMax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Aceleração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2188923611111122"/>
          <c:y val="0.8289806878306879"/>
          <c:w val="0.25165243055555553"/>
          <c:h val="0.1215095238095238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Soma de prefixos paralela com Pthreads (long long)</a:t>
            </a:r>
          </a:p>
        </c:rich>
      </c:tx>
      <c:layout>
        <c:manualLayout>
          <c:xMode val="edge"/>
          <c:yMode val="edge"/>
          <c:x val="0.25810468749999999"/>
          <c:y val="4.0317460317460314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'Exp B (Sem Chunks)'!$A$13</c:f>
              <c:strCache>
                <c:ptCount val="1"/>
                <c:pt idx="0">
                  <c:v>tempo médio (ms)</c:v>
                </c:pt>
              </c:strCache>
            </c:strRef>
          </c:tx>
          <c:spPr>
            <a:ln w="25000">
              <a:solidFill>
                <a:srgbClr val="004C87"/>
              </a:solidFill>
              <a:prstDash val="solid"/>
            </a:ln>
          </c:spPr>
          <c:marker>
            <c:symbol val="square"/>
            <c:size val="7"/>
            <c:spPr>
              <a:ln>
                <a:prstDash val="solid"/>
              </a:ln>
            </c:spPr>
          </c:marker>
          <c:cat>
            <c:numRef>
              <c:f>'Exp B (Sem Chunks)'!$B$12:$I$12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'Exp B (Sem Chunks)'!$B$13:$I$13</c:f>
              <c:numCache>
                <c:formatCode>0.00</c:formatCode>
                <c:ptCount val="8"/>
                <c:pt idx="0">
                  <c:v>44.889026799999996</c:v>
                </c:pt>
                <c:pt idx="1">
                  <c:v>26.475185000000003</c:v>
                </c:pt>
                <c:pt idx="2">
                  <c:v>28.038457400000002</c:v>
                </c:pt>
                <c:pt idx="3">
                  <c:v>23.909121600000002</c:v>
                </c:pt>
                <c:pt idx="4">
                  <c:v>26.711325799999997</c:v>
                </c:pt>
                <c:pt idx="5">
                  <c:v>24.406523999999997</c:v>
                </c:pt>
                <c:pt idx="6">
                  <c:v>25.597480600000001</c:v>
                </c:pt>
                <c:pt idx="7">
                  <c:v>24.272480800000004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C5-45F7-BC0D-C525558D8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'Exp B (Sem Chunks)'!$A$14</c:f>
              <c:strCache>
                <c:ptCount val="1"/>
                <c:pt idx="0">
                  <c:v>Aceleração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val>
            <c:numRef>
              <c:f>'Exp B (Sem Chunks)'!$B$14:$I$14</c:f>
              <c:numCache>
                <c:formatCode>0.00</c:formatCode>
                <c:ptCount val="8"/>
                <c:pt idx="0">
                  <c:v>1</c:v>
                </c:pt>
                <c:pt idx="1">
                  <c:v>1.6955132438168039</c:v>
                </c:pt>
                <c:pt idx="2">
                  <c:v>1.600980616002077</c:v>
                </c:pt>
                <c:pt idx="3">
                  <c:v>1.8774854028932619</c:v>
                </c:pt>
                <c:pt idx="4">
                  <c:v>1.6805241018774142</c:v>
                </c:pt>
                <c:pt idx="5">
                  <c:v>1.8392224472440237</c:v>
                </c:pt>
                <c:pt idx="6">
                  <c:v>1.7536501932147179</c:v>
                </c:pt>
                <c:pt idx="7">
                  <c:v>1.8493794338483931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9C5-45F7-BC0D-C525558D8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n threads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Tempo médio (ms)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in val="0"/>
        </c:scaling>
        <c:delete val="1"/>
        <c:axPos val="r"/>
        <c:majorGridlines>
          <c:spPr>
            <a:ln>
              <a:solidFill>
                <a:schemeClr val="tx1">
                  <a:shade val="95000"/>
                  <a:satMod val="10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Aceleração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3516250000000005"/>
          <c:y val="0.718107671957672"/>
          <c:w val="0.23176458333333333"/>
          <c:h val="0.1215095238095238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Soma de prefixos paralela com Pthreads (long long)</a:t>
            </a:r>
          </a:p>
        </c:rich>
      </c:tx>
      <c:layout>
        <c:manualLayout>
          <c:xMode val="edge"/>
          <c:yMode val="edge"/>
          <c:x val="0.26030954861111111"/>
          <c:y val="3.023809523809523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'Exp B (Sem Chunks)'!$A$18</c:f>
              <c:strCache>
                <c:ptCount val="1"/>
                <c:pt idx="0">
                  <c:v>vazao média (MOPS)</c:v>
                </c:pt>
              </c:strCache>
            </c:strRef>
          </c:tx>
          <c:spPr>
            <a:ln w="25000">
              <a:solidFill>
                <a:srgbClr val="004C87"/>
              </a:solidFill>
              <a:prstDash val="solid"/>
            </a:ln>
          </c:spPr>
          <c:marker>
            <c:symbol val="square"/>
            <c:size val="7"/>
            <c:spPr>
              <a:ln>
                <a:prstDash val="solid"/>
              </a:ln>
            </c:spPr>
          </c:marker>
          <c:cat>
            <c:numRef>
              <c:f>'Exp B (Sem Chunks)'!$B$12:$I$12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'Exp B (Sem Chunks)'!$B$18:$I$18</c:f>
              <c:numCache>
                <c:formatCode>0.00</c:formatCode>
                <c:ptCount val="8"/>
                <c:pt idx="0">
                  <c:v>178.21819300000001</c:v>
                </c:pt>
                <c:pt idx="1">
                  <c:v>302.17353059999999</c:v>
                </c:pt>
                <c:pt idx="2">
                  <c:v>285.32954340000003</c:v>
                </c:pt>
                <c:pt idx="3">
                  <c:v>334.61642659999995</c:v>
                </c:pt>
                <c:pt idx="4">
                  <c:v>299.50153979999993</c:v>
                </c:pt>
                <c:pt idx="5">
                  <c:v>327.92570139999998</c:v>
                </c:pt>
                <c:pt idx="6">
                  <c:v>312.53477880000003</c:v>
                </c:pt>
                <c:pt idx="7">
                  <c:v>329.63914360000001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D9-4A00-B697-C21105C28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'Exp B (Sem Chunks)'!$A$19</c:f>
              <c:strCache>
                <c:ptCount val="1"/>
                <c:pt idx="0">
                  <c:v>Aceleração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val>
            <c:numRef>
              <c:f>'Exp B (Sem Chunks)'!$B$19:$I$19</c:f>
              <c:numCache>
                <c:formatCode>0.00</c:formatCode>
                <c:ptCount val="8"/>
                <c:pt idx="0">
                  <c:v>1</c:v>
                </c:pt>
                <c:pt idx="1">
                  <c:v>1.6955257233474472</c:v>
                </c:pt>
                <c:pt idx="2">
                  <c:v>1.60101243648004</c:v>
                </c:pt>
                <c:pt idx="3">
                  <c:v>1.8775660383898065</c:v>
                </c:pt>
                <c:pt idx="4">
                  <c:v>1.6805329173099623</c:v>
                </c:pt>
                <c:pt idx="5">
                  <c:v>1.8400237140772713</c:v>
                </c:pt>
                <c:pt idx="6">
                  <c:v>1.7536637171492362</c:v>
                </c:pt>
                <c:pt idx="7">
                  <c:v>1.8496380086178967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D9-4A00-B697-C21105C28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3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n threads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vazao média (MOPS)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300"/>
        <c:scaling>
          <c:orientation val="minMax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Aceleração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0645520833333342"/>
          <c:y val="0.6710706349206349"/>
          <c:w val="0.25165243055555553"/>
          <c:h val="0.1215095238095238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Comparativo de Vazão Média: Exp A (Com Chunks L2) vs Exp B (Sem Chunks)</a:t>
            </a:r>
          </a:p>
        </c:rich>
      </c:tx>
      <c:layout>
        <c:manualLayout>
          <c:xMode val="edge"/>
          <c:yMode val="edge"/>
          <c:x val="0.14423454861111112"/>
          <c:y val="5.0396825396825398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'Comparativo A vs B'!$D$4</c:f>
              <c:strCache>
                <c:ptCount val="1"/>
                <c:pt idx="0">
                  <c:v>Vazão Exp A (MOPS)</c:v>
                </c:pt>
              </c:strCache>
            </c:strRef>
          </c:tx>
          <c:spPr>
            <a:solidFill>
              <a:srgbClr val="004C87"/>
            </a:solidFill>
            <a:ln>
              <a:prstDash val="solid"/>
            </a:ln>
          </c:spPr>
          <c:invertIfNegative val="1"/>
          <c:cat>
            <c:numRef>
              <c:f>'Comparativo A vs 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'Comparativo A vs B'!$D$5:$D$12</c:f>
              <c:numCache>
                <c:formatCode>0.00</c:formatCode>
                <c:ptCount val="8"/>
                <c:pt idx="0">
                  <c:v>247.942677</c:v>
                </c:pt>
                <c:pt idx="1">
                  <c:v>416.0100961666667</c:v>
                </c:pt>
                <c:pt idx="2">
                  <c:v>410.05221883333326</c:v>
                </c:pt>
                <c:pt idx="3">
                  <c:v>494.47620449999999</c:v>
                </c:pt>
                <c:pt idx="4">
                  <c:v>444.72911683333336</c:v>
                </c:pt>
                <c:pt idx="5">
                  <c:v>489.04217233333338</c:v>
                </c:pt>
                <c:pt idx="6">
                  <c:v>476.56404049999998</c:v>
                </c:pt>
                <c:pt idx="7">
                  <c:v>474.39235549999995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E1-4078-AC3B-B3314AF5F378}"/>
            </c:ext>
          </c:extLst>
        </c:ser>
        <c:ser>
          <c:idx val="1"/>
          <c:order val="1"/>
          <c:tx>
            <c:strRef>
              <c:f>'Comparativo A vs B'!$E$4</c:f>
              <c:strCache>
                <c:ptCount val="1"/>
                <c:pt idx="0">
                  <c:v>Vazão Exp B (MOPS)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numRef>
              <c:f>'Comparativo A vs 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'Comparativo A vs B'!$E$5:$E$12</c:f>
              <c:numCache>
                <c:formatCode>0.00</c:formatCode>
                <c:ptCount val="8"/>
                <c:pt idx="0">
                  <c:v>178.21819300000001</c:v>
                </c:pt>
                <c:pt idx="1">
                  <c:v>302.17353059999999</c:v>
                </c:pt>
                <c:pt idx="2">
                  <c:v>285.32954340000003</c:v>
                </c:pt>
                <c:pt idx="3">
                  <c:v>334.61642659999995</c:v>
                </c:pt>
                <c:pt idx="4">
                  <c:v>299.50153979999993</c:v>
                </c:pt>
                <c:pt idx="5">
                  <c:v>327.92570139999998</c:v>
                </c:pt>
                <c:pt idx="6">
                  <c:v>312.53477880000003</c:v>
                </c:pt>
                <c:pt idx="7">
                  <c:v>329.63914360000001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7E1-4078-AC3B-B3314AF5F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Número de Threads</a:t>
                </a:r>
              </a:p>
            </c:rich>
          </c:tx>
          <c:layout>
            <c:manualLayout>
              <c:xMode val="edge"/>
              <c:yMode val="edge"/>
              <c:x val="0.39618958333333332"/>
              <c:y val="0.9489142857142856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Vazão média (MOPS)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pt-BR"/>
              <a:t>Comparativo de Aceleração (Speedup) vs Speedup Linear Ideal</a:t>
            </a:r>
          </a:p>
        </c:rich>
      </c:tx>
      <c:layout>
        <c:manualLayout>
          <c:xMode val="edge"/>
          <c:yMode val="edge"/>
          <c:x val="0.20776215277777776"/>
          <c:y val="3.3597883597883599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'Comparativo A vs B'!$G$4</c:f>
              <c:strCache>
                <c:ptCount val="1"/>
                <c:pt idx="0">
                  <c:v>Speedup Exp A</c:v>
                </c:pt>
              </c:strCache>
            </c:strRef>
          </c:tx>
          <c:spPr>
            <a:ln w="25000">
              <a:solidFill>
                <a:srgbClr val="004C87"/>
              </a:solidFill>
              <a:prstDash val="solid"/>
            </a:ln>
          </c:spPr>
          <c:marker>
            <c:symbol val="square"/>
            <c:size val="7"/>
            <c:spPr>
              <a:ln>
                <a:prstDash val="solid"/>
              </a:ln>
            </c:spPr>
          </c:marker>
          <c:cat>
            <c:numRef>
              <c:f>'Comparativo A vs 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'Comparativo A vs B'!$G$5:$G$12</c:f>
              <c:numCache>
                <c:formatCode>0.00</c:formatCode>
                <c:ptCount val="8"/>
                <c:pt idx="0">
                  <c:v>1</c:v>
                </c:pt>
                <c:pt idx="1">
                  <c:v>1.677847884842619</c:v>
                </c:pt>
                <c:pt idx="2">
                  <c:v>1.6538186317692023</c:v>
                </c:pt>
                <c:pt idx="3">
                  <c:v>1.9943166319043977</c:v>
                </c:pt>
                <c:pt idx="4">
                  <c:v>1.7936771604403277</c:v>
                </c:pt>
                <c:pt idx="5">
                  <c:v>1.9724001460762375</c:v>
                </c:pt>
                <c:pt idx="6">
                  <c:v>1.922073465795483</c:v>
                </c:pt>
                <c:pt idx="7">
                  <c:v>1.9133146469173596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18-4E3F-B482-F90F445874E3}"/>
            </c:ext>
          </c:extLst>
        </c:ser>
        <c:ser>
          <c:idx val="1"/>
          <c:order val="1"/>
          <c:tx>
            <c:strRef>
              <c:f>'Comparativo A vs B'!$H$4</c:f>
              <c:strCache>
                <c:ptCount val="1"/>
                <c:pt idx="0">
                  <c:v>Speedup Exp B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triangle"/>
            <c:size val="7"/>
            <c:spPr>
              <a:ln>
                <a:prstDash val="solid"/>
              </a:ln>
            </c:spPr>
          </c:marker>
          <c:cat>
            <c:numRef>
              <c:f>'Comparativo A vs 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'Comparativo A vs B'!$H$5:$H$12</c:f>
              <c:numCache>
                <c:formatCode>0.00</c:formatCode>
                <c:ptCount val="8"/>
                <c:pt idx="0">
                  <c:v>1</c:v>
                </c:pt>
                <c:pt idx="1">
                  <c:v>1.6955257233474472</c:v>
                </c:pt>
                <c:pt idx="2">
                  <c:v>1.60101243648004</c:v>
                </c:pt>
                <c:pt idx="3">
                  <c:v>1.8775660383898065</c:v>
                </c:pt>
                <c:pt idx="4">
                  <c:v>1.6805329173099623</c:v>
                </c:pt>
                <c:pt idx="5">
                  <c:v>1.8400237140772713</c:v>
                </c:pt>
                <c:pt idx="6">
                  <c:v>1.7536637171492362</c:v>
                </c:pt>
                <c:pt idx="7">
                  <c:v>1.8496380086178967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18-4E3F-B482-F90F445874E3}"/>
            </c:ext>
          </c:extLst>
        </c:ser>
        <c:ser>
          <c:idx val="2"/>
          <c:order val="2"/>
          <c:tx>
            <c:strRef>
              <c:f>'Comparativo A vs B'!$I$4</c:f>
              <c:strCache>
                <c:ptCount val="1"/>
                <c:pt idx="0">
                  <c:v>Speedup Linear Ideal</c:v>
                </c:pt>
              </c:strCache>
            </c:strRef>
          </c:tx>
          <c:spPr>
            <a:ln w="15000">
              <a:solidFill>
                <a:srgbClr val="70AD47"/>
              </a:solidFill>
              <a:prstDash val="dash"/>
            </a:ln>
          </c:spPr>
          <c:marker>
            <c:symbol val="none"/>
          </c:marker>
          <c:cat>
            <c:numRef>
              <c:f>'Comparativo A vs 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'Comparativo A vs B'!$I$5:$I$12</c:f>
              <c:numCache>
                <c:formatCode>0.00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18-4E3F-B482-F90F4458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Número de Threads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Speedup (Tp / T1)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022482638888895"/>
          <c:y val="0.43910582010582011"/>
          <c:w val="0.26993142361111111"/>
          <c:h val="0.18226428571428571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576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1864179</xdr:colOff>
      <xdr:row>53</xdr:row>
      <xdr:rowOff>108857</xdr:rowOff>
    </xdr:from>
    <xdr:ext cx="5760000" cy="37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0</xdr:rowOff>
    </xdr:from>
    <xdr:ext cx="576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27215</xdr:colOff>
      <xdr:row>51</xdr:row>
      <xdr:rowOff>163285</xdr:rowOff>
    </xdr:from>
    <xdr:ext cx="5760000" cy="37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576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783166</xdr:colOff>
      <xdr:row>14</xdr:row>
      <xdr:rowOff>10583</xdr:rowOff>
    </xdr:from>
    <xdr:ext cx="5760000" cy="37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102" zoomScaleNormal="100" workbookViewId="0">
      <selection activeCell="G3" sqref="G3:H3"/>
    </sheetView>
  </sheetViews>
  <sheetFormatPr defaultRowHeight="14.4" x14ac:dyDescent="0.3"/>
  <cols>
    <col min="1" max="1" width="27.33203125" customWidth="1"/>
    <col min="2" max="9" width="15" customWidth="1"/>
    <col min="10" max="10" width="45" customWidth="1"/>
  </cols>
  <sheetData>
    <row r="1" spans="1:9" ht="14.4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9" x14ac:dyDescent="0.3">
      <c r="A2" s="20" t="s">
        <v>1</v>
      </c>
      <c r="B2" s="20"/>
      <c r="C2" s="20"/>
      <c r="D2" s="20"/>
      <c r="E2" s="20"/>
      <c r="F2" s="20"/>
      <c r="G2" s="1" t="s">
        <v>2</v>
      </c>
      <c r="H2" s="2">
        <v>8000000</v>
      </c>
    </row>
    <row r="3" spans="1:9" x14ac:dyDescent="0.3">
      <c r="A3" s="21"/>
      <c r="B3" s="21"/>
      <c r="C3" s="21"/>
      <c r="D3" s="21"/>
      <c r="E3" s="21"/>
      <c r="F3" s="21"/>
      <c r="G3" s="1" t="s">
        <v>3</v>
      </c>
      <c r="H3" s="2">
        <v>196608</v>
      </c>
    </row>
    <row r="4" spans="1:9" ht="15" thickBot="1" x14ac:dyDescent="0.3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 spans="1:9" ht="19.05" customHeight="1" x14ac:dyDescent="0.3">
      <c r="A5" s="4">
        <v>3.2267748999999998E-2</v>
      </c>
      <c r="B5" s="4">
        <v>1.9212458000000002E-2</v>
      </c>
      <c r="C5" s="4">
        <v>1.9986377999999999E-2</v>
      </c>
      <c r="D5" s="4">
        <v>1.6208124000000001E-2</v>
      </c>
      <c r="E5" s="4">
        <v>1.7755442E-2</v>
      </c>
      <c r="F5" s="4">
        <v>1.5998459E-2</v>
      </c>
      <c r="G5" s="4">
        <v>1.6698526000000002E-2</v>
      </c>
      <c r="H5" s="4">
        <v>1.8221943000000001E-2</v>
      </c>
    </row>
    <row r="6" spans="1:9" ht="19.05" customHeight="1" x14ac:dyDescent="0.3">
      <c r="A6" s="4">
        <v>3.2218977000000003E-2</v>
      </c>
      <c r="B6" s="4">
        <v>1.9325847E-2</v>
      </c>
      <c r="C6" s="4">
        <v>1.9358638000000001E-2</v>
      </c>
      <c r="D6" s="4">
        <v>1.6182014000000002E-2</v>
      </c>
      <c r="E6" s="4">
        <v>1.8391661E-2</v>
      </c>
      <c r="F6" s="4">
        <v>1.7205048000000001E-2</v>
      </c>
      <c r="G6" s="4">
        <v>1.7225442000000001E-2</v>
      </c>
      <c r="H6" s="4">
        <v>1.5510678E-2</v>
      </c>
    </row>
    <row r="7" spans="1:9" ht="19.05" customHeight="1" x14ac:dyDescent="0.3">
      <c r="A7" s="4">
        <v>3.2242474E-2</v>
      </c>
      <c r="B7" s="4">
        <v>1.9276299E-2</v>
      </c>
      <c r="C7" s="4">
        <v>1.9686825000000002E-2</v>
      </c>
      <c r="D7" s="4">
        <v>1.6114157E-2</v>
      </c>
      <c r="E7" s="4">
        <v>1.7751973000000001E-2</v>
      </c>
      <c r="F7" s="4">
        <v>1.5936955999999999E-2</v>
      </c>
      <c r="G7" s="4">
        <v>1.6745067999999998E-2</v>
      </c>
      <c r="H7" s="4">
        <v>1.8309890999999998E-2</v>
      </c>
    </row>
    <row r="8" spans="1:9" ht="19.05" customHeight="1" x14ac:dyDescent="0.3">
      <c r="A8" s="4">
        <v>3.2260988999999997E-2</v>
      </c>
      <c r="B8" s="4">
        <v>1.9123082999999999E-2</v>
      </c>
      <c r="C8" s="4">
        <v>1.9412883999999998E-2</v>
      </c>
      <c r="D8" s="4">
        <v>1.6521498999999999E-2</v>
      </c>
      <c r="E8" s="4">
        <v>1.8440259000000001E-2</v>
      </c>
      <c r="F8" s="4">
        <v>1.6394473999999999E-2</v>
      </c>
      <c r="G8" s="4">
        <v>1.6764101999999999E-2</v>
      </c>
      <c r="H8" s="4">
        <v>1.5446252000000001E-2</v>
      </c>
    </row>
    <row r="9" spans="1:9" ht="19.05" customHeight="1" x14ac:dyDescent="0.3">
      <c r="A9" s="4">
        <v>3.2292278000000001E-2</v>
      </c>
      <c r="B9" s="4">
        <v>1.9385711E-2</v>
      </c>
      <c r="C9" s="4">
        <v>1.9356753000000001E-2</v>
      </c>
      <c r="D9" s="4">
        <v>1.5860183999999999E-2</v>
      </c>
      <c r="E9" s="4">
        <v>1.7572462E-2</v>
      </c>
      <c r="F9" s="4">
        <v>1.6094427000000001E-2</v>
      </c>
      <c r="G9" s="4">
        <v>1.6337159E-2</v>
      </c>
      <c r="H9" s="4">
        <v>1.9075268999999999E-2</v>
      </c>
    </row>
    <row r="10" spans="1:9" ht="19.05" customHeight="1" x14ac:dyDescent="0.3">
      <c r="A10" s="4">
        <v>3.2310836000000002E-2</v>
      </c>
      <c r="B10" s="4">
        <v>1.9062343999999998E-2</v>
      </c>
      <c r="C10" s="4">
        <v>1.9275463999999999E-2</v>
      </c>
      <c r="D10" s="4">
        <v>1.6200289E-2</v>
      </c>
      <c r="E10" s="4">
        <v>1.8055285000000001E-2</v>
      </c>
      <c r="F10" s="4">
        <v>1.6590234999999998E-2</v>
      </c>
      <c r="G10" s="4">
        <v>1.6976966E-2</v>
      </c>
      <c r="H10" s="4">
        <v>1.5464591E-2</v>
      </c>
    </row>
    <row r="12" spans="1:9" x14ac:dyDescent="0.3">
      <c r="B12" s="17" t="s">
        <v>12</v>
      </c>
      <c r="C12" s="18"/>
      <c r="D12" s="18"/>
      <c r="E12" s="18"/>
      <c r="F12" s="18"/>
      <c r="G12" s="18"/>
      <c r="H12" s="18"/>
      <c r="I12" s="18"/>
    </row>
    <row r="13" spans="1:9" x14ac:dyDescent="0.3">
      <c r="A13" s="5" t="s">
        <v>13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</row>
    <row r="14" spans="1:9" x14ac:dyDescent="0.3">
      <c r="A14" s="5" t="s">
        <v>14</v>
      </c>
      <c r="B14" s="7">
        <f>AVERAGE(A5:A10)*1000</f>
        <v>32.265550499999996</v>
      </c>
      <c r="C14" s="7">
        <f>AVERAGE(B5:B10)*1000</f>
        <v>19.230957</v>
      </c>
      <c r="D14" s="7">
        <f>AVERAGE(C5:C10)*1000</f>
        <v>19.512823666666666</v>
      </c>
      <c r="E14" s="7">
        <f>AVERAGE(D5:D10)*1000</f>
        <v>16.181044500000002</v>
      </c>
      <c r="F14" s="7">
        <f>AVERAGE(E5:E10)*1000</f>
        <v>17.994513666666666</v>
      </c>
      <c r="G14" s="7">
        <f>AVERAGE(F5:F10)*1000</f>
        <v>16.369933166666662</v>
      </c>
      <c r="H14" s="7">
        <f>AVERAGE(G5:G10)*1000</f>
        <v>16.791210500000002</v>
      </c>
      <c r="I14" s="7">
        <f>AVERAGE(H5:H10)*1000</f>
        <v>17.004770666666669</v>
      </c>
    </row>
    <row r="15" spans="1:9" x14ac:dyDescent="0.3">
      <c r="A15" s="5" t="s">
        <v>15</v>
      </c>
      <c r="B15" s="7">
        <f t="shared" ref="B15:I15" si="0">$B$14/B14</f>
        <v>1</v>
      </c>
      <c r="C15" s="7">
        <f t="shared" si="0"/>
        <v>1.6777922440365289</v>
      </c>
      <c r="D15" s="7">
        <f t="shared" si="0"/>
        <v>1.6535561972570141</v>
      </c>
      <c r="E15" s="7">
        <f t="shared" si="0"/>
        <v>1.994033852388206</v>
      </c>
      <c r="F15" s="7">
        <f t="shared" si="0"/>
        <v>1.7930771065943969</v>
      </c>
      <c r="G15" s="7">
        <f t="shared" si="0"/>
        <v>1.971025182051497</v>
      </c>
      <c r="H15" s="7">
        <f t="shared" si="0"/>
        <v>1.9215738198267476</v>
      </c>
      <c r="I15" s="7">
        <f t="shared" si="0"/>
        <v>1.8974410847685248</v>
      </c>
    </row>
    <row r="17" spans="1:10" x14ac:dyDescent="0.3">
      <c r="B17" s="17" t="s">
        <v>16</v>
      </c>
      <c r="C17" s="18"/>
      <c r="D17" s="18"/>
      <c r="E17" s="18"/>
      <c r="F17" s="18"/>
      <c r="G17" s="18"/>
      <c r="H17" s="18"/>
      <c r="I17" s="18"/>
    </row>
    <row r="18" spans="1:10" x14ac:dyDescent="0.3">
      <c r="A18" s="5" t="s">
        <v>13</v>
      </c>
      <c r="B18" s="6">
        <v>1</v>
      </c>
      <c r="C18" s="6">
        <v>2</v>
      </c>
      <c r="D18" s="6">
        <v>3</v>
      </c>
      <c r="E18" s="6">
        <v>4</v>
      </c>
      <c r="F18" s="6">
        <v>5</v>
      </c>
      <c r="G18" s="6">
        <v>6</v>
      </c>
      <c r="H18" s="6">
        <v>7</v>
      </c>
      <c r="I18" s="6">
        <v>8</v>
      </c>
    </row>
    <row r="19" spans="1:10" x14ac:dyDescent="0.3">
      <c r="A19" s="5" t="s">
        <v>17</v>
      </c>
      <c r="B19" s="7">
        <f t="shared" ref="B19:I19" si="1">AVERAGE(B24:B29)</f>
        <v>247.942677</v>
      </c>
      <c r="C19" s="7">
        <f t="shared" si="1"/>
        <v>416.0100961666667</v>
      </c>
      <c r="D19" s="7">
        <f t="shared" si="1"/>
        <v>410.05221883333326</v>
      </c>
      <c r="E19" s="7">
        <f t="shared" si="1"/>
        <v>494.47620449999999</v>
      </c>
      <c r="F19" s="7">
        <f t="shared" si="1"/>
        <v>444.72911683333336</v>
      </c>
      <c r="G19" s="7">
        <f t="shared" si="1"/>
        <v>489.04217233333338</v>
      </c>
      <c r="H19" s="7">
        <f t="shared" si="1"/>
        <v>476.56404049999998</v>
      </c>
      <c r="I19" s="7">
        <f t="shared" si="1"/>
        <v>474.39235549999995</v>
      </c>
      <c r="J19" s="8" t="s">
        <v>18</v>
      </c>
    </row>
    <row r="20" spans="1:10" x14ac:dyDescent="0.3">
      <c r="A20" s="5" t="s">
        <v>15</v>
      </c>
      <c r="B20" s="7">
        <f t="shared" ref="B20:I20" si="2">B19/$B$19</f>
        <v>1</v>
      </c>
      <c r="C20" s="7">
        <f t="shared" si="2"/>
        <v>1.677847884842619</v>
      </c>
      <c r="D20" s="7">
        <f t="shared" si="2"/>
        <v>1.6538186317692023</v>
      </c>
      <c r="E20" s="7">
        <f t="shared" si="2"/>
        <v>1.9943166319043977</v>
      </c>
      <c r="F20" s="7">
        <f t="shared" si="2"/>
        <v>1.7936771604403277</v>
      </c>
      <c r="G20" s="7">
        <f t="shared" si="2"/>
        <v>1.9724001460762375</v>
      </c>
      <c r="H20" s="7">
        <f t="shared" si="2"/>
        <v>1.922073465795483</v>
      </c>
      <c r="I20" s="7">
        <f t="shared" si="2"/>
        <v>1.9133146469173596</v>
      </c>
    </row>
    <row r="23" spans="1:10" ht="15" thickBot="1" x14ac:dyDescent="0.35">
      <c r="A23" s="9" t="s">
        <v>19</v>
      </c>
      <c r="B23" s="9" t="s">
        <v>4</v>
      </c>
      <c r="C23" s="9" t="s">
        <v>5</v>
      </c>
      <c r="D23" s="9" t="s">
        <v>6</v>
      </c>
      <c r="E23" s="9" t="s">
        <v>7</v>
      </c>
      <c r="F23" s="9" t="s">
        <v>8</v>
      </c>
      <c r="G23" s="9" t="s">
        <v>9</v>
      </c>
      <c r="H23" s="9" t="s">
        <v>10</v>
      </c>
      <c r="I23" s="9" t="s">
        <v>11</v>
      </c>
    </row>
    <row r="24" spans="1:10" ht="19.05" customHeight="1" x14ac:dyDescent="0.3">
      <c r="B24" s="10">
        <v>247.925566</v>
      </c>
      <c r="C24" s="10">
        <v>416.39648899999997</v>
      </c>
      <c r="D24" s="10">
        <v>400.27262400000001</v>
      </c>
      <c r="E24" s="10">
        <v>493.57964099999998</v>
      </c>
      <c r="F24" s="10">
        <v>450.56609800000001</v>
      </c>
      <c r="G24" s="10">
        <v>500.048158</v>
      </c>
      <c r="H24" s="10">
        <v>479.08421099999998</v>
      </c>
      <c r="I24" s="10">
        <v>439.03111999999999</v>
      </c>
    </row>
    <row r="25" spans="1:10" ht="19.05" customHeight="1" x14ac:dyDescent="0.3">
      <c r="B25" s="10">
        <v>248.30086900000001</v>
      </c>
      <c r="C25" s="10">
        <v>413.95340700000003</v>
      </c>
      <c r="D25" s="10">
        <v>413.25222000000002</v>
      </c>
      <c r="E25" s="10">
        <v>494.37604499999998</v>
      </c>
      <c r="F25" s="10">
        <v>434.979736</v>
      </c>
      <c r="G25" s="10">
        <v>464.97980799999999</v>
      </c>
      <c r="H25" s="10">
        <v>464.429304</v>
      </c>
      <c r="I25" s="10">
        <v>515.77370099999996</v>
      </c>
    </row>
    <row r="26" spans="1:10" ht="19.05" customHeight="1" x14ac:dyDescent="0.3">
      <c r="B26" s="10">
        <v>248.11991499999999</v>
      </c>
      <c r="C26" s="10">
        <v>415.017427</v>
      </c>
      <c r="D26" s="10">
        <v>406.36314599999997</v>
      </c>
      <c r="E26" s="10">
        <v>496.457854</v>
      </c>
      <c r="F26" s="10">
        <v>450.65414399999997</v>
      </c>
      <c r="G26" s="10">
        <v>501.97791699999999</v>
      </c>
      <c r="H26" s="10">
        <v>477.75261699999999</v>
      </c>
      <c r="I26" s="10">
        <v>436.92231199999998</v>
      </c>
    </row>
    <row r="27" spans="1:10" ht="19.05" customHeight="1" x14ac:dyDescent="0.3">
      <c r="B27" s="10">
        <v>247.97751600000001</v>
      </c>
      <c r="C27" s="10">
        <v>418.34259500000002</v>
      </c>
      <c r="D27" s="10">
        <v>412.09744799999999</v>
      </c>
      <c r="E27" s="10">
        <v>484.21756499999998</v>
      </c>
      <c r="F27" s="10">
        <v>433.83338500000002</v>
      </c>
      <c r="G27" s="10">
        <v>487.96930500000002</v>
      </c>
      <c r="H27" s="10">
        <v>477.21017899999998</v>
      </c>
      <c r="I27" s="10">
        <v>517.92499699999996</v>
      </c>
    </row>
    <row r="28" spans="1:10" ht="19.05" customHeight="1" x14ac:dyDescent="0.3">
      <c r="B28" s="10">
        <v>247.737244</v>
      </c>
      <c r="C28" s="10">
        <v>412.67508700000002</v>
      </c>
      <c r="D28" s="10">
        <v>413.292464</v>
      </c>
      <c r="E28" s="10">
        <v>504.40777600000001</v>
      </c>
      <c r="F28" s="10">
        <v>455.25777099999999</v>
      </c>
      <c r="G28" s="10">
        <v>497.066484</v>
      </c>
      <c r="H28" s="10">
        <v>489.68121600000001</v>
      </c>
      <c r="I28" s="10">
        <v>419.39119599999998</v>
      </c>
    </row>
    <row r="29" spans="1:10" ht="19.05" customHeight="1" x14ac:dyDescent="0.3">
      <c r="B29" s="10">
        <v>247.59495200000001</v>
      </c>
      <c r="C29" s="10">
        <v>419.67557199999999</v>
      </c>
      <c r="D29" s="10">
        <v>415.03541100000001</v>
      </c>
      <c r="E29" s="10">
        <v>493.81834600000002</v>
      </c>
      <c r="F29" s="10">
        <v>443.08356700000002</v>
      </c>
      <c r="G29" s="10">
        <v>482.21136200000001</v>
      </c>
      <c r="H29" s="10">
        <v>471.22671600000001</v>
      </c>
      <c r="I29" s="10">
        <v>517.31080699999995</v>
      </c>
    </row>
  </sheetData>
  <mergeCells count="4">
    <mergeCell ref="B12:I12"/>
    <mergeCell ref="B17:I17"/>
    <mergeCell ref="A1:H1"/>
    <mergeCell ref="A2:F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zoomScale="76" workbookViewId="0">
      <selection activeCell="J26" sqref="J26"/>
    </sheetView>
  </sheetViews>
  <sheetFormatPr defaultRowHeight="14.4" x14ac:dyDescent="0.3"/>
  <cols>
    <col min="1" max="1" width="28" customWidth="1"/>
    <col min="2" max="9" width="15" customWidth="1"/>
    <col min="10" max="10" width="45" customWidth="1"/>
  </cols>
  <sheetData>
    <row r="1" spans="1:9" ht="14.4" customHeight="1" x14ac:dyDescent="0.3">
      <c r="A1" s="19" t="s">
        <v>20</v>
      </c>
      <c r="B1" s="19"/>
      <c r="C1" s="19"/>
      <c r="D1" s="19"/>
      <c r="E1" s="19"/>
      <c r="F1" s="19"/>
      <c r="G1" s="19"/>
      <c r="H1" s="19"/>
    </row>
    <row r="2" spans="1:9" x14ac:dyDescent="0.3">
      <c r="A2" s="20" t="s">
        <v>21</v>
      </c>
      <c r="B2" s="20"/>
      <c r="C2" s="20"/>
      <c r="D2" s="20"/>
      <c r="E2" s="20"/>
      <c r="F2" s="20"/>
      <c r="G2" s="1" t="s">
        <v>2</v>
      </c>
      <c r="H2" s="2">
        <v>8000000</v>
      </c>
    </row>
    <row r="3" spans="1:9" x14ac:dyDescent="0.3">
      <c r="A3" s="21"/>
      <c r="B3" s="21"/>
      <c r="C3" s="21"/>
      <c r="D3" s="21"/>
      <c r="E3" s="21"/>
      <c r="F3" s="21"/>
      <c r="G3" s="1" t="s">
        <v>3</v>
      </c>
      <c r="H3" s="2">
        <v>0</v>
      </c>
    </row>
    <row r="4" spans="1:9" ht="15" thickBot="1" x14ac:dyDescent="0.3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 spans="1:9" ht="19.05" customHeight="1" x14ac:dyDescent="0.3">
      <c r="A5" s="4">
        <v>4.5059506999999999E-2</v>
      </c>
      <c r="B5" s="4">
        <v>2.6533094E-2</v>
      </c>
      <c r="C5" s="4">
        <v>2.8144836999999999E-2</v>
      </c>
      <c r="D5" s="4">
        <v>2.4010885999999999E-2</v>
      </c>
      <c r="E5" s="4">
        <v>2.6877485999999999E-2</v>
      </c>
      <c r="F5" s="4">
        <v>2.4147825000000001E-2</v>
      </c>
      <c r="G5" s="4">
        <v>2.5705519999999999E-2</v>
      </c>
      <c r="H5" s="4">
        <v>2.4181129999999999E-2</v>
      </c>
    </row>
    <row r="6" spans="1:9" ht="19.05" customHeight="1" x14ac:dyDescent="0.3">
      <c r="A6" s="4">
        <v>4.4938026999999998E-2</v>
      </c>
      <c r="B6" s="4">
        <v>2.6362574E-2</v>
      </c>
      <c r="C6" s="4">
        <v>2.7890521000000001E-2</v>
      </c>
      <c r="D6" s="4">
        <v>2.3699174E-2</v>
      </c>
      <c r="E6" s="4">
        <v>2.669962E-2</v>
      </c>
      <c r="F6" s="4">
        <v>2.4711575999999999E-2</v>
      </c>
      <c r="G6" s="4">
        <v>2.5428657E-2</v>
      </c>
      <c r="H6" s="4">
        <v>2.4831267000000001E-2</v>
      </c>
    </row>
    <row r="7" spans="1:9" ht="19.05" customHeight="1" x14ac:dyDescent="0.3">
      <c r="A7" s="4">
        <v>4.4761922000000003E-2</v>
      </c>
      <c r="B7" s="4">
        <v>2.6627346E-2</v>
      </c>
      <c r="C7" s="4">
        <v>2.7933090000000001E-2</v>
      </c>
      <c r="D7" s="4">
        <v>2.3996244E-2</v>
      </c>
      <c r="E7" s="4">
        <v>2.6689536E-2</v>
      </c>
      <c r="F7" s="4">
        <v>2.5272006E-2</v>
      </c>
      <c r="G7" s="4">
        <v>2.5637612000000001E-2</v>
      </c>
      <c r="H7" s="4">
        <v>2.4264394000000002E-2</v>
      </c>
    </row>
    <row r="8" spans="1:9" ht="19.05" customHeight="1" x14ac:dyDescent="0.3">
      <c r="A8" s="4">
        <v>4.4835490999999998E-2</v>
      </c>
      <c r="B8" s="4">
        <v>2.6426604999999999E-2</v>
      </c>
      <c r="C8" s="4">
        <v>2.8259471000000001E-2</v>
      </c>
      <c r="D8" s="4">
        <v>2.4113293000000001E-2</v>
      </c>
      <c r="E8" s="4">
        <v>2.6655214E-2</v>
      </c>
      <c r="F8" s="4">
        <v>2.4005308E-2</v>
      </c>
      <c r="G8" s="4">
        <v>2.5611467999999998E-2</v>
      </c>
      <c r="H8" s="4">
        <v>2.410079E-2</v>
      </c>
    </row>
    <row r="9" spans="1:9" ht="19.05" customHeight="1" x14ac:dyDescent="0.3">
      <c r="A9" s="4">
        <v>4.4850187E-2</v>
      </c>
      <c r="B9" s="4">
        <v>2.6426306E-2</v>
      </c>
      <c r="C9" s="4">
        <v>2.7964368E-2</v>
      </c>
      <c r="D9" s="4">
        <v>2.3726011000000002E-2</v>
      </c>
      <c r="E9" s="4">
        <v>2.6634773E-2</v>
      </c>
      <c r="F9" s="4">
        <v>2.3895904999999999E-2</v>
      </c>
      <c r="G9" s="4">
        <v>2.5604146000000001E-2</v>
      </c>
      <c r="H9" s="4">
        <v>2.3984822999999999E-2</v>
      </c>
    </row>
    <row r="11" spans="1:9" x14ac:dyDescent="0.3">
      <c r="B11" s="17" t="s">
        <v>12</v>
      </c>
      <c r="C11" s="18"/>
      <c r="D11" s="18"/>
      <c r="E11" s="18"/>
      <c r="F11" s="18"/>
      <c r="G11" s="18"/>
      <c r="H11" s="18"/>
      <c r="I11" s="18"/>
    </row>
    <row r="12" spans="1:9" x14ac:dyDescent="0.3">
      <c r="A12" s="5" t="s">
        <v>13</v>
      </c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</row>
    <row r="13" spans="1:9" x14ac:dyDescent="0.3">
      <c r="A13" s="5" t="s">
        <v>14</v>
      </c>
      <c r="B13" s="7">
        <f>AVERAGE(A5:A9)*1000</f>
        <v>44.889026799999996</v>
      </c>
      <c r="C13" s="7">
        <f>AVERAGE(B5:B9)*1000</f>
        <v>26.475185000000003</v>
      </c>
      <c r="D13" s="7">
        <f>AVERAGE(C5:C9)*1000</f>
        <v>28.038457400000002</v>
      </c>
      <c r="E13" s="7">
        <f>AVERAGE(D5:D9)*1000</f>
        <v>23.909121600000002</v>
      </c>
      <c r="F13" s="7">
        <f>AVERAGE(E5:E9)*1000</f>
        <v>26.711325799999997</v>
      </c>
      <c r="G13" s="7">
        <f>AVERAGE(F5:F9)*1000</f>
        <v>24.406523999999997</v>
      </c>
      <c r="H13" s="7">
        <f>AVERAGE(G5:G9)*1000</f>
        <v>25.597480600000001</v>
      </c>
      <c r="I13" s="7">
        <f>AVERAGE(H5:H9)*1000</f>
        <v>24.272480800000004</v>
      </c>
    </row>
    <row r="14" spans="1:9" x14ac:dyDescent="0.3">
      <c r="A14" s="5" t="s">
        <v>15</v>
      </c>
      <c r="B14" s="7">
        <f t="shared" ref="B14:I14" si="0">$B$13/B13</f>
        <v>1</v>
      </c>
      <c r="C14" s="7">
        <f t="shared" si="0"/>
        <v>1.6955132438168039</v>
      </c>
      <c r="D14" s="7">
        <f t="shared" si="0"/>
        <v>1.600980616002077</v>
      </c>
      <c r="E14" s="7">
        <f t="shared" si="0"/>
        <v>1.8774854028932619</v>
      </c>
      <c r="F14" s="7">
        <f t="shared" si="0"/>
        <v>1.6805241018774142</v>
      </c>
      <c r="G14" s="7">
        <f t="shared" si="0"/>
        <v>1.8392224472440237</v>
      </c>
      <c r="H14" s="7">
        <f t="shared" si="0"/>
        <v>1.7536501932147179</v>
      </c>
      <c r="I14" s="7">
        <f t="shared" si="0"/>
        <v>1.8493794338483931</v>
      </c>
    </row>
    <row r="16" spans="1:9" x14ac:dyDescent="0.3">
      <c r="B16" s="17" t="s">
        <v>16</v>
      </c>
      <c r="C16" s="18"/>
      <c r="D16" s="18"/>
      <c r="E16" s="18"/>
      <c r="F16" s="18"/>
      <c r="G16" s="18"/>
      <c r="H16" s="18"/>
      <c r="I16" s="18"/>
    </row>
    <row r="17" spans="1:10" x14ac:dyDescent="0.3">
      <c r="A17" s="5" t="s">
        <v>13</v>
      </c>
      <c r="B17" s="6">
        <v>1</v>
      </c>
      <c r="C17" s="6">
        <v>2</v>
      </c>
      <c r="D17" s="6">
        <v>3</v>
      </c>
      <c r="E17" s="6">
        <v>4</v>
      </c>
      <c r="F17" s="6">
        <v>5</v>
      </c>
      <c r="G17" s="6">
        <v>6</v>
      </c>
      <c r="H17" s="6">
        <v>7</v>
      </c>
      <c r="I17" s="6">
        <v>8</v>
      </c>
    </row>
    <row r="18" spans="1:10" x14ac:dyDescent="0.3">
      <c r="A18" s="5" t="s">
        <v>17</v>
      </c>
      <c r="B18" s="7">
        <f t="shared" ref="B18:I18" si="1">AVERAGE(B23:B27)</f>
        <v>178.21819300000001</v>
      </c>
      <c r="C18" s="7">
        <f t="shared" si="1"/>
        <v>302.17353059999999</v>
      </c>
      <c r="D18" s="7">
        <f t="shared" si="1"/>
        <v>285.32954340000003</v>
      </c>
      <c r="E18" s="7">
        <f t="shared" si="1"/>
        <v>334.61642659999995</v>
      </c>
      <c r="F18" s="7">
        <f t="shared" si="1"/>
        <v>299.50153979999993</v>
      </c>
      <c r="G18" s="7">
        <f t="shared" si="1"/>
        <v>327.92570139999998</v>
      </c>
      <c r="H18" s="7">
        <f t="shared" si="1"/>
        <v>312.53477880000003</v>
      </c>
      <c r="I18" s="7">
        <f t="shared" si="1"/>
        <v>329.63914360000001</v>
      </c>
      <c r="J18" s="8" t="s">
        <v>18</v>
      </c>
    </row>
    <row r="19" spans="1:10" x14ac:dyDescent="0.3">
      <c r="A19" s="5" t="s">
        <v>15</v>
      </c>
      <c r="B19" s="7">
        <f t="shared" ref="B19:I19" si="2">B18/$B$18</f>
        <v>1</v>
      </c>
      <c r="C19" s="7">
        <f t="shared" si="2"/>
        <v>1.6955257233474472</v>
      </c>
      <c r="D19" s="7">
        <f t="shared" si="2"/>
        <v>1.60101243648004</v>
      </c>
      <c r="E19" s="7">
        <f t="shared" si="2"/>
        <v>1.8775660383898065</v>
      </c>
      <c r="F19" s="7">
        <f t="shared" si="2"/>
        <v>1.6805329173099623</v>
      </c>
      <c r="G19" s="7">
        <f t="shared" si="2"/>
        <v>1.8400237140772713</v>
      </c>
      <c r="H19" s="7">
        <f t="shared" si="2"/>
        <v>1.7536637171492362</v>
      </c>
      <c r="I19" s="7">
        <f t="shared" si="2"/>
        <v>1.8496380086178967</v>
      </c>
    </row>
    <row r="22" spans="1:10" ht="15" thickBot="1" x14ac:dyDescent="0.35">
      <c r="A22" s="9" t="s">
        <v>19</v>
      </c>
      <c r="B22" s="9" t="s">
        <v>4</v>
      </c>
      <c r="C22" s="9" t="s">
        <v>5</v>
      </c>
      <c r="D22" s="9" t="s">
        <v>6</v>
      </c>
      <c r="E22" s="9" t="s">
        <v>7</v>
      </c>
      <c r="F22" s="9" t="s">
        <v>8</v>
      </c>
      <c r="G22" s="9" t="s">
        <v>9</v>
      </c>
      <c r="H22" s="9" t="s">
        <v>10</v>
      </c>
      <c r="I22" s="9" t="s">
        <v>11</v>
      </c>
    </row>
    <row r="23" spans="1:10" ht="19.05" customHeight="1" x14ac:dyDescent="0.3">
      <c r="B23" s="10">
        <v>177.543001</v>
      </c>
      <c r="C23" s="10">
        <v>301.51025600000003</v>
      </c>
      <c r="D23" s="10">
        <v>284.24395800000002</v>
      </c>
      <c r="E23" s="10">
        <v>333.18221199999999</v>
      </c>
      <c r="F23" s="10">
        <v>297.64688999999998</v>
      </c>
      <c r="G23" s="10">
        <v>331.292777</v>
      </c>
      <c r="H23" s="10">
        <v>311.217198</v>
      </c>
      <c r="I23" s="10">
        <v>330.83648099999999</v>
      </c>
    </row>
    <row r="24" spans="1:10" ht="19.05" customHeight="1" x14ac:dyDescent="0.3">
      <c r="B24" s="10">
        <v>178.02294800000001</v>
      </c>
      <c r="C24" s="10">
        <v>303.460508</v>
      </c>
      <c r="D24" s="10">
        <v>286.83580499999999</v>
      </c>
      <c r="E24" s="10">
        <v>337.564504</v>
      </c>
      <c r="F24" s="10">
        <v>299.62973199999999</v>
      </c>
      <c r="G24" s="10">
        <v>323.734915</v>
      </c>
      <c r="H24" s="10">
        <v>314.60567700000001</v>
      </c>
      <c r="I24" s="10">
        <v>322.17445500000002</v>
      </c>
    </row>
    <row r="25" spans="1:10" ht="19.05" customHeight="1" x14ac:dyDescent="0.3">
      <c r="B25" s="10">
        <v>178.72333599999999</v>
      </c>
      <c r="C25" s="10">
        <v>300.44300900000002</v>
      </c>
      <c r="D25" s="10">
        <v>286.39867900000002</v>
      </c>
      <c r="E25" s="10">
        <v>333.385515</v>
      </c>
      <c r="F25" s="10">
        <v>299.74294400000002</v>
      </c>
      <c r="G25" s="10">
        <v>316.55580099999997</v>
      </c>
      <c r="H25" s="10">
        <v>312.041541</v>
      </c>
      <c r="I25" s="10">
        <v>329.70120300000002</v>
      </c>
    </row>
    <row r="26" spans="1:10" ht="19.05" customHeight="1" x14ac:dyDescent="0.3">
      <c r="B26" s="10">
        <v>178.43007299999999</v>
      </c>
      <c r="C26" s="10">
        <v>302.72522800000002</v>
      </c>
      <c r="D26" s="10">
        <v>283.090937</v>
      </c>
      <c r="E26" s="10">
        <v>331.76721800000001</v>
      </c>
      <c r="F26" s="10">
        <v>300.12890199999998</v>
      </c>
      <c r="G26" s="10">
        <v>333.25962299999998</v>
      </c>
      <c r="H26" s="10">
        <v>312.36007599999999</v>
      </c>
      <c r="I26" s="10">
        <v>331.939322</v>
      </c>
    </row>
    <row r="27" spans="1:10" ht="19.05" customHeight="1" x14ac:dyDescent="0.3">
      <c r="B27" s="10">
        <v>178.37160700000001</v>
      </c>
      <c r="C27" s="10">
        <v>302.72865200000001</v>
      </c>
      <c r="D27" s="10">
        <v>286.07833799999997</v>
      </c>
      <c r="E27" s="10">
        <v>337.18268399999999</v>
      </c>
      <c r="F27" s="10">
        <v>300.35923100000002</v>
      </c>
      <c r="G27" s="10">
        <v>334.785391</v>
      </c>
      <c r="H27" s="10">
        <v>312.44940200000002</v>
      </c>
      <c r="I27" s="10">
        <v>333.54425700000002</v>
      </c>
    </row>
  </sheetData>
  <mergeCells count="4">
    <mergeCell ref="B11:I11"/>
    <mergeCell ref="B16:I16"/>
    <mergeCell ref="A1:H1"/>
    <mergeCell ref="A2:F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="54" workbookViewId="0">
      <selection activeCell="M29" sqref="M29"/>
    </sheetView>
  </sheetViews>
  <sheetFormatPr defaultRowHeight="14.4" x14ac:dyDescent="0.3"/>
  <cols>
    <col min="1" max="9" width="19" customWidth="1"/>
  </cols>
  <sheetData>
    <row r="1" spans="1:9" ht="15.6" x14ac:dyDescent="0.3">
      <c r="A1" s="11" t="s">
        <v>22</v>
      </c>
    </row>
    <row r="2" spans="1:9" x14ac:dyDescent="0.3">
      <c r="A2" s="12" t="s">
        <v>23</v>
      </c>
    </row>
    <row r="4" spans="1:9" x14ac:dyDescent="0.3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 spans="1:9" x14ac:dyDescent="0.3">
      <c r="A5" s="13">
        <v>1</v>
      </c>
      <c r="B5" s="10">
        <f>'Exp A (Com Chunks L2)'!B14</f>
        <v>32.265550499999996</v>
      </c>
      <c r="C5" s="10">
        <f>'Exp B (Sem Chunks)'!B13</f>
        <v>44.889026799999996</v>
      </c>
      <c r="D5" s="10">
        <f>'Exp A (Com Chunks L2)'!B19</f>
        <v>247.942677</v>
      </c>
      <c r="E5" s="10">
        <f>'Exp B (Sem Chunks)'!B18</f>
        <v>178.21819300000001</v>
      </c>
      <c r="F5" s="14">
        <f t="shared" ref="F5:F12" si="0">(D5/E5-1)*100</f>
        <v>39.123101197642598</v>
      </c>
      <c r="G5" s="10">
        <f t="shared" ref="G5:G12" si="1">D5/$D$5</f>
        <v>1</v>
      </c>
      <c r="H5" s="10">
        <f t="shared" ref="H5:H12" si="2">E5/$E$5</f>
        <v>1</v>
      </c>
      <c r="I5" s="10">
        <v>1</v>
      </c>
    </row>
    <row r="6" spans="1:9" x14ac:dyDescent="0.3">
      <c r="A6" s="13">
        <v>2</v>
      </c>
      <c r="B6" s="10">
        <f>'Exp A (Com Chunks L2)'!C14</f>
        <v>19.230957</v>
      </c>
      <c r="C6" s="10">
        <f>'Exp B (Sem Chunks)'!C13</f>
        <v>26.475185000000003</v>
      </c>
      <c r="D6" s="10">
        <f>'Exp A (Com Chunks L2)'!C19</f>
        <v>416.0100961666667</v>
      </c>
      <c r="E6" s="10">
        <f>'Exp B (Sem Chunks)'!C18</f>
        <v>302.17353059999999</v>
      </c>
      <c r="F6" s="14">
        <f t="shared" si="0"/>
        <v>37.672580169623473</v>
      </c>
      <c r="G6" s="10">
        <f t="shared" si="1"/>
        <v>1.677847884842619</v>
      </c>
      <c r="H6" s="10">
        <f t="shared" si="2"/>
        <v>1.6955257233474472</v>
      </c>
      <c r="I6" s="10">
        <v>2</v>
      </c>
    </row>
    <row r="7" spans="1:9" x14ac:dyDescent="0.3">
      <c r="A7" s="13">
        <v>3</v>
      </c>
      <c r="B7" s="10">
        <f>'Exp A (Com Chunks L2)'!D14</f>
        <v>19.512823666666666</v>
      </c>
      <c r="C7" s="10">
        <f>'Exp B (Sem Chunks)'!D13</f>
        <v>28.038457400000002</v>
      </c>
      <c r="D7" s="10">
        <f>'Exp A (Com Chunks L2)'!D19</f>
        <v>410.05221883333326</v>
      </c>
      <c r="E7" s="10">
        <f>'Exp B (Sem Chunks)'!D18</f>
        <v>285.32954340000003</v>
      </c>
      <c r="F7" s="14">
        <f t="shared" si="0"/>
        <v>43.71179862664485</v>
      </c>
      <c r="G7" s="10">
        <f t="shared" si="1"/>
        <v>1.6538186317692023</v>
      </c>
      <c r="H7" s="10">
        <f t="shared" si="2"/>
        <v>1.60101243648004</v>
      </c>
      <c r="I7" s="10">
        <v>3</v>
      </c>
    </row>
    <row r="8" spans="1:9" x14ac:dyDescent="0.3">
      <c r="A8" s="13">
        <v>4</v>
      </c>
      <c r="B8" s="10">
        <f>'Exp A (Com Chunks L2)'!E14</f>
        <v>16.181044500000002</v>
      </c>
      <c r="C8" s="10">
        <f>'Exp B (Sem Chunks)'!E13</f>
        <v>23.909121600000002</v>
      </c>
      <c r="D8" s="10">
        <f>'Exp A (Com Chunks L2)'!E19</f>
        <v>494.47620449999999</v>
      </c>
      <c r="E8" s="10">
        <f>'Exp B (Sem Chunks)'!E18</f>
        <v>334.61642659999995</v>
      </c>
      <c r="F8" s="14">
        <f t="shared" si="0"/>
        <v>47.774037731595342</v>
      </c>
      <c r="G8" s="10">
        <f t="shared" si="1"/>
        <v>1.9943166319043977</v>
      </c>
      <c r="H8" s="10">
        <f t="shared" si="2"/>
        <v>1.8775660383898065</v>
      </c>
      <c r="I8" s="10">
        <v>4</v>
      </c>
    </row>
    <row r="9" spans="1:9" x14ac:dyDescent="0.3">
      <c r="A9" s="13">
        <v>5</v>
      </c>
      <c r="B9" s="10">
        <f>'Exp A (Com Chunks L2)'!F14</f>
        <v>17.994513666666666</v>
      </c>
      <c r="C9" s="10">
        <f>'Exp B (Sem Chunks)'!F13</f>
        <v>26.711325799999997</v>
      </c>
      <c r="D9" s="10">
        <f>'Exp A (Com Chunks L2)'!F19</f>
        <v>444.72911683333336</v>
      </c>
      <c r="E9" s="10">
        <f>'Exp B (Sem Chunks)'!F18</f>
        <v>299.50153979999993</v>
      </c>
      <c r="F9" s="14">
        <f t="shared" si="0"/>
        <v>48.489759728885872</v>
      </c>
      <c r="G9" s="10">
        <f t="shared" si="1"/>
        <v>1.7936771604403277</v>
      </c>
      <c r="H9" s="10">
        <f t="shared" si="2"/>
        <v>1.6805329173099623</v>
      </c>
      <c r="I9" s="10">
        <v>5</v>
      </c>
    </row>
    <row r="10" spans="1:9" x14ac:dyDescent="0.3">
      <c r="A10" s="13">
        <v>6</v>
      </c>
      <c r="B10" s="10">
        <f>'Exp A (Com Chunks L2)'!G14</f>
        <v>16.369933166666662</v>
      </c>
      <c r="C10" s="10">
        <f>'Exp B (Sem Chunks)'!G13</f>
        <v>24.406523999999997</v>
      </c>
      <c r="D10" s="10">
        <f>'Exp A (Com Chunks L2)'!G19</f>
        <v>489.04217233333338</v>
      </c>
      <c r="E10" s="10">
        <f>'Exp B (Sem Chunks)'!G18</f>
        <v>327.92570139999998</v>
      </c>
      <c r="F10" s="14">
        <f t="shared" si="0"/>
        <v>49.132004672242921</v>
      </c>
      <c r="G10" s="10">
        <f t="shared" si="1"/>
        <v>1.9724001460762375</v>
      </c>
      <c r="H10" s="10">
        <f t="shared" si="2"/>
        <v>1.8400237140772713</v>
      </c>
      <c r="I10" s="10">
        <v>6</v>
      </c>
    </row>
    <row r="11" spans="1:9" x14ac:dyDescent="0.3">
      <c r="A11" s="13">
        <v>7</v>
      </c>
      <c r="B11" s="10">
        <f>'Exp A (Com Chunks L2)'!H14</f>
        <v>16.791210500000002</v>
      </c>
      <c r="C11" s="10">
        <f>'Exp B (Sem Chunks)'!H13</f>
        <v>25.597480600000001</v>
      </c>
      <c r="D11" s="10">
        <f>'Exp A (Com Chunks L2)'!H19</f>
        <v>476.56404049999998</v>
      </c>
      <c r="E11" s="10">
        <f>'Exp B (Sem Chunks)'!H18</f>
        <v>312.53477880000003</v>
      </c>
      <c r="F11" s="14">
        <f t="shared" si="0"/>
        <v>52.483522739389898</v>
      </c>
      <c r="G11" s="10">
        <f t="shared" si="1"/>
        <v>1.922073465795483</v>
      </c>
      <c r="H11" s="10">
        <f t="shared" si="2"/>
        <v>1.7536637171492362</v>
      </c>
      <c r="I11" s="10">
        <v>7</v>
      </c>
    </row>
    <row r="12" spans="1:9" x14ac:dyDescent="0.3">
      <c r="A12" s="13">
        <v>8</v>
      </c>
      <c r="B12" s="10">
        <f>'Exp A (Com Chunks L2)'!I14</f>
        <v>17.004770666666669</v>
      </c>
      <c r="C12" s="10">
        <f>'Exp B (Sem Chunks)'!I13</f>
        <v>24.272480800000004</v>
      </c>
      <c r="D12" s="10">
        <f>'Exp A (Com Chunks L2)'!I19</f>
        <v>474.39235549999995</v>
      </c>
      <c r="E12" s="10">
        <f>'Exp B (Sem Chunks)'!I18</f>
        <v>329.63914360000001</v>
      </c>
      <c r="F12" s="14">
        <f t="shared" si="0"/>
        <v>43.912628312021852</v>
      </c>
      <c r="G12" s="10">
        <f t="shared" si="1"/>
        <v>1.9133146469173596</v>
      </c>
      <c r="H12" s="10">
        <f t="shared" si="2"/>
        <v>1.8496380086178967</v>
      </c>
      <c r="I12" s="10">
        <v>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RowHeight="14.4" x14ac:dyDescent="0.3"/>
  <cols>
    <col min="1" max="1" width="30" customWidth="1"/>
    <col min="2" max="2" width="55" customWidth="1"/>
  </cols>
  <sheetData>
    <row r="1" spans="1:2" ht="15.6" x14ac:dyDescent="0.3">
      <c r="A1" s="11" t="s">
        <v>33</v>
      </c>
    </row>
    <row r="3" spans="1:2" x14ac:dyDescent="0.3">
      <c r="A3" s="15" t="s">
        <v>34</v>
      </c>
      <c r="B3" s="16" t="s">
        <v>35</v>
      </c>
    </row>
    <row r="4" spans="1:2" x14ac:dyDescent="0.3">
      <c r="A4" s="15" t="s">
        <v>36</v>
      </c>
      <c r="B4" s="16" t="s">
        <v>37</v>
      </c>
    </row>
    <row r="5" spans="1:2" x14ac:dyDescent="0.3">
      <c r="A5" s="15" t="s">
        <v>38</v>
      </c>
      <c r="B5" s="16" t="s">
        <v>39</v>
      </c>
    </row>
    <row r="6" spans="1:2" x14ac:dyDescent="0.3">
      <c r="A6" s="15" t="s">
        <v>40</v>
      </c>
      <c r="B6" s="16" t="s">
        <v>41</v>
      </c>
    </row>
    <row r="7" spans="1:2" x14ac:dyDescent="0.3">
      <c r="A7" s="15" t="s">
        <v>42</v>
      </c>
      <c r="B7" s="16" t="s">
        <v>43</v>
      </c>
    </row>
    <row r="8" spans="1:2" x14ac:dyDescent="0.3">
      <c r="A8" s="15" t="s">
        <v>44</v>
      </c>
      <c r="B8" s="16" t="s">
        <v>45</v>
      </c>
    </row>
    <row r="9" spans="1:2" x14ac:dyDescent="0.3">
      <c r="A9" s="15" t="s">
        <v>46</v>
      </c>
      <c r="B9" s="16" t="s">
        <v>47</v>
      </c>
    </row>
    <row r="10" spans="1:2" x14ac:dyDescent="0.3">
      <c r="A10" s="15" t="s">
        <v>48</v>
      </c>
      <c r="B10" s="16" t="s">
        <v>49</v>
      </c>
    </row>
    <row r="11" spans="1:2" x14ac:dyDescent="0.3">
      <c r="A11" s="15" t="s">
        <v>50</v>
      </c>
      <c r="B11" s="16" t="s">
        <v>51</v>
      </c>
    </row>
    <row r="12" spans="1:2" x14ac:dyDescent="0.3">
      <c r="A12" s="15" t="s">
        <v>52</v>
      </c>
      <c r="B12" s="16" t="s">
        <v>53</v>
      </c>
    </row>
    <row r="13" spans="1:2" x14ac:dyDescent="0.3">
      <c r="A13" s="15" t="s">
        <v>54</v>
      </c>
      <c r="B13" s="16" t="s">
        <v>55</v>
      </c>
    </row>
    <row r="14" spans="1:2" x14ac:dyDescent="0.3">
      <c r="A14" s="15" t="s">
        <v>56</v>
      </c>
      <c r="B14" s="16" t="s">
        <v>57</v>
      </c>
    </row>
    <row r="15" spans="1:2" x14ac:dyDescent="0.3">
      <c r="A15" s="15" t="s">
        <v>58</v>
      </c>
      <c r="B15" s="16" t="s">
        <v>59</v>
      </c>
    </row>
    <row r="16" spans="1:2" x14ac:dyDescent="0.3">
      <c r="A16" s="15" t="s">
        <v>60</v>
      </c>
      <c r="B16" s="16" t="s">
        <v>61</v>
      </c>
    </row>
    <row r="17" spans="1:2" x14ac:dyDescent="0.3">
      <c r="A17" s="15" t="s">
        <v>62</v>
      </c>
      <c r="B17" s="16" t="s">
        <v>63</v>
      </c>
    </row>
    <row r="18" spans="1:2" x14ac:dyDescent="0.3">
      <c r="A18" s="15" t="s">
        <v>64</v>
      </c>
      <c r="B18" s="1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 A (Com Chunks L2)</vt:lpstr>
      <vt:lpstr>Exp B (Sem Chunks)</vt:lpstr>
      <vt:lpstr>Comparativo A vs B</vt:lpstr>
      <vt:lpstr>Hardware e SLURM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Neto</cp:lastModifiedBy>
  <dcterms:created xsi:type="dcterms:W3CDTF">2026-10-21T23:21:12Z</dcterms:created>
  <dcterms:modified xsi:type="dcterms:W3CDTF">2026-10-21T23:37:37Z</dcterms:modified>
</cp:coreProperties>
</file>